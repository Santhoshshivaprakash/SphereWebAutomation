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ummary" sheetId="1" state="visible" r:id="rId3"/>
    <sheet name="Test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<sst xmlns="http://schemas.openxmlformats.org/spreadsheetml/2006/main" count="335" uniqueCount="232">
  <si>
    <t xml:space="preserve">Aastrika — Web Portal Test Report</t>
  </si>
  <si>
    <t xml:space="preserve">Form Configuration Module  ·  Web Portal  ·  Date: 10-06-2026  ·  Confidential</t>
  </si>
  <si>
    <t xml:space="preserve">1. Test Objective</t>
  </si>
  <si>
    <t xml:space="preserve">•  To ensure that the web portal meets the specified requirements.</t>
  </si>
  <si>
    <t xml:space="preserve">•  To identify any existing defects in the current build.</t>
  </si>
  <si>
    <t xml:space="preserve">•  To assess the readiness of the web portal for release.</t>
  </si>
  <si>
    <t xml:space="preserve">2. Test Environment</t>
  </si>
  <si>
    <t xml:space="preserve">Application Type:</t>
  </si>
  <si>
    <t xml:space="preserve">Web Portal (browser-based)</t>
  </si>
  <si>
    <t xml:space="preserve">Browsers:</t>
  </si>
  <si>
    <t xml:space="preserve">Chrome 120+, Microsoft Edge 120+, Firefox 120+, Safari 17+</t>
  </si>
  <si>
    <t xml:space="preserve">Operating Systems:</t>
  </si>
  <si>
    <t xml:space="preserve">Windows 11, macOS Sonoma</t>
  </si>
  <si>
    <t xml:space="preserve">Test Platform:</t>
  </si>
  <si>
    <t xml:space="preserve">BrowserStack (cross-browser) + local desktop verification</t>
  </si>
  <si>
    <t xml:space="preserve">Build URL:</t>
  </si>
  <si>
    <t xml:space="preserve">https://tarento-my.sharepoint.com/…/web-portal-build</t>
  </si>
  <si>
    <t xml:space="preserve">Build Number:</t>
  </si>
  <si>
    <t xml:space="preserve">2.2.0 ( 1000 )</t>
  </si>
  <si>
    <t xml:space="preserve">Test Case Sheet:</t>
  </si>
  <si>
    <t xml:space="preserve">Web Portal - Form Configuration Test Cases.xlsx</t>
  </si>
  <si>
    <t xml:space="preserve">3. Test Summary</t>
  </si>
  <si>
    <t xml:space="preserve">Total Test Cases Executed:</t>
  </si>
  <si>
    <t xml:space="preserve">Total Passed:</t>
  </si>
  <si>
    <t xml:space="preserve">Total Failed:</t>
  </si>
  <si>
    <t xml:space="preserve">Total Blocked:</t>
  </si>
  <si>
    <t xml:space="preserve">4. Failure Matrix</t>
  </si>
  <si>
    <t xml:space="preserve">Category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</si>
  <si>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</si>
  <si>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</si>
  <si>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</si>
  <si>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</si>
  <si>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</si>
  <si>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Functional</t>
  </si>
  <si>
    <t xml:space="preserve">UI</t>
  </si>
  <si>
    <t xml:space="preserve">Blocked</t>
  </si>
  <si>
    <t xml:space="preserve">5. Type of Testing Conducted</t>
  </si>
  <si>
    <t xml:space="preserve">Testing Type</t>
  </si>
  <si>
    <t xml:space="preserve">Coverage</t>
  </si>
  <si>
    <t xml:space="preserve">Functional Testing</t>
  </si>
  <si>
    <t xml:space="preserve">100%</t>
  </si>
  <si>
    <t xml:space="preserve">Regression Testing</t>
  </si>
  <si>
    <t xml:space="preserve">UI and Usability Testing</t>
  </si>
  <si>
    <t xml:space="preserve">Cross-browser Testing (BrowserStack)</t>
  </si>
  <si>
    <t xml:space="preserve">Web Portal — Form Configuration : Test Cases</t>
  </si>
  <si>
    <t xml:space="preserve">Build 2.2.0 (1000)  ·  Date: 10-06-2026  ·  Cross-browser via BrowserStack</t>
  </si>
  <si>
    <t xml:space="preserve">Test Case ID</t>
  </si>
  <si>
    <t xml:space="preserve">Modules</t>
  </si>
  <si>
    <t xml:space="preserve">Test Case Description</t>
  </si>
  <si>
    <t xml:space="preserve">Expected Result</t>
  </si>
  <si>
    <t xml:space="preserve">Status</t>
  </si>
  <si>
    <t xml:space="preserve">TC-001</t>
  </si>
  <si>
    <t xml:space="preserve">CRUD - Create</t>
  </si>
  <si>
    <t xml:space="preserve">Verify that a new form configuration is created when all required fields including channelId are provided.</t>
  </si>
  <si>
    <t xml:space="preserve">New configuration is created and accessible via API.</t>
  </si>
  <si>
    <t xml:space="preserve">Passed</t>
  </si>
  <si>
    <t xml:space="preserve">TC-002</t>
  </si>
  <si>
    <t xml:space="preserve">Verify a configuration is created with only the mandatory fields populated.</t>
  </si>
  <si>
    <t xml:space="preserve">Configuration is created successfully with defaults applied to optional fields.</t>
  </si>
  <si>
    <t xml:space="preserve">TC-003</t>
  </si>
  <si>
    <t xml:space="preserve">Verify creating a configuration with a duplicate channelId is rejected.</t>
  </si>
  <si>
    <t xml:space="preserve">API returns a validation error indicating channelId already exists.</t>
  </si>
  <si>
    <t xml:space="preserve">TC-004</t>
  </si>
  <si>
    <t xml:space="preserve">Verify creating a configuration with a missing channelId is rejected.</t>
  </si>
  <si>
    <t xml:space="preserve">API returns a 400 error stating channelId is required.</t>
  </si>
  <si>
    <t xml:space="preserve">TC-005</t>
  </si>
  <si>
    <t xml:space="preserve">Verify creating a configuration with an invalid layout JSON is rejected.</t>
  </si>
  <si>
    <t xml:space="preserve">API returns a validation error; no configuration is persisted.</t>
  </si>
  <si>
    <t xml:space="preserve">TC-006</t>
  </si>
  <si>
    <t xml:space="preserve">Verify a configuration can be created with multiple language variants.</t>
  </si>
  <si>
    <t xml:space="preserve">Configuration is created and all language variants are stored correctly.</t>
  </si>
  <si>
    <t xml:space="preserve">TC-007</t>
  </si>
  <si>
    <t xml:space="preserve">Verify a logo can be attached during configuration creation.</t>
  </si>
  <si>
    <t xml:space="preserve">Logo is uploaded and the returned config contains a valid logo URL.</t>
  </si>
  <si>
    <t xml:space="preserve">TC-008</t>
  </si>
  <si>
    <t xml:space="preserve">Verify a default role is assigned when no role is supplied.</t>
  </si>
  <si>
    <t xml:space="preserve">Configuration is created with the system default role.</t>
  </si>
  <si>
    <t xml:space="preserve">TC-009</t>
  </si>
  <si>
    <t xml:space="preserve">CRUD - Read</t>
  </si>
  <si>
    <t xml:space="preserve">Verify reading an existing form configuration using valid channelId.</t>
  </si>
  <si>
    <t xml:space="preserve">Configuration is returned with correct layout, role, language, and logo.</t>
  </si>
  <si>
    <t xml:space="preserve">TC-010</t>
  </si>
  <si>
    <t xml:space="preserve">Verify reading a configuration with a non-existent channelId.</t>
  </si>
  <si>
    <t xml:space="preserve">API returns a 404 Not Found with a clear message.</t>
  </si>
  <si>
    <t xml:space="preserve">TC-011</t>
  </si>
  <si>
    <t xml:space="preserve">Verify listing all form configurations returns a paginated response.</t>
  </si>
  <si>
    <t xml:space="preserve">All configurations are returned in pages with correct total count.</t>
  </si>
  <si>
    <t xml:space="preserve">TC-012</t>
  </si>
  <si>
    <t xml:space="preserve">Verify reading configurations filtered by role.</t>
  </si>
  <si>
    <t xml:space="preserve">Only configurations matching the requested role are returned.</t>
  </si>
  <si>
    <t xml:space="preserve">TC-013</t>
  </si>
  <si>
    <t xml:space="preserve">Verify reading configurations filtered by language.</t>
  </si>
  <si>
    <t xml:space="preserve">Only configurations for the requested language are returned.</t>
  </si>
  <si>
    <t xml:space="preserve">TC-014</t>
  </si>
  <si>
    <t xml:space="preserve">Verify the logo URL returned on read resolves to a valid image.</t>
  </si>
  <si>
    <t xml:space="preserve">Logo URL is accessible and renders the correct image.</t>
  </si>
  <si>
    <t xml:space="preserve">TC-015</t>
  </si>
  <si>
    <t xml:space="preserve">CRUD - Update</t>
  </si>
  <si>
    <t xml:space="preserve">Verify updating the layout of an existing configuration.</t>
  </si>
  <si>
    <t xml:space="preserve">Layout is updated and the change is reflected on subsequent reads.</t>
  </si>
  <si>
    <t xml:space="preserve">TC-016</t>
  </si>
  <si>
    <t xml:space="preserve">Verify updating the role mapping of an existing configuration.</t>
  </si>
  <si>
    <t xml:space="preserve">Role mapping is updated successfully.</t>
  </si>
  <si>
    <t xml:space="preserve">TC-017</t>
  </si>
  <si>
    <t xml:space="preserve">Verify updating the language set of an existing configuration.</t>
  </si>
  <si>
    <t xml:space="preserve">Language set is updated and older variants are retained/removed as expected.</t>
  </si>
  <si>
    <t xml:space="preserve">TC-018</t>
  </si>
  <si>
    <t xml:space="preserve">Verify replacing the logo on an existing configuration.</t>
  </si>
  <si>
    <t xml:space="preserve">New logo replaces the old one and the previous URL is invalidated.</t>
  </si>
  <si>
    <t xml:space="preserve">TC-019</t>
  </si>
  <si>
    <t xml:space="preserve">Verify updating a non-existent configuration is rejected.</t>
  </si>
  <si>
    <t xml:space="preserve">API returns a 404 error; nothing is modified.</t>
  </si>
  <si>
    <t xml:space="preserve">TC-020</t>
  </si>
  <si>
    <t xml:space="preserve">Verify a partial (PATCH) update modifies only the supplied fields.</t>
  </si>
  <si>
    <t xml:space="preserve">Only the provided fields change; all others remain intact.</t>
  </si>
  <si>
    <t xml:space="preserve">TC-021</t>
  </si>
  <si>
    <t xml:space="preserve">Verify concurrent updates are handled without data corruption.</t>
  </si>
  <si>
    <t xml:space="preserve">Version/ETag conflict is detected and the stale update is rejected.</t>
  </si>
  <si>
    <t xml:space="preserve">TC-022</t>
  </si>
  <si>
    <t xml:space="preserve">CRUD - Delete</t>
  </si>
  <si>
    <t xml:space="preserve">Verify deleting an existing configuration by channelId.</t>
  </si>
  <si>
    <t xml:space="preserve">Configuration is removed and no longer accessible via API.</t>
  </si>
  <si>
    <t xml:space="preserve">TC-023</t>
  </si>
  <si>
    <t xml:space="preserve">Verify deleting a non-existent configuration is rejected.</t>
  </si>
  <si>
    <t xml:space="preserve">API returns a 404 error.</t>
  </si>
  <si>
    <t xml:space="preserve">TC-024</t>
  </si>
  <si>
    <t xml:space="preserve">Verify a deleted configuration no longer appears in list/read responses.</t>
  </si>
  <si>
    <t xml:space="preserve">Deleted configuration is excluded from all read operations.</t>
  </si>
  <si>
    <t xml:space="preserve">TC-025</t>
  </si>
  <si>
    <t xml:space="preserve">Verify soft-deleted configurations can be identified in the audit trail.</t>
  </si>
  <si>
    <t xml:space="preserve">Soft-delete flag and timestamp are recorded in the audit log.</t>
  </si>
  <si>
    <t xml:space="preserve">TC-026</t>
  </si>
  <si>
    <t xml:space="preserve">Validation</t>
  </si>
  <si>
    <t xml:space="preserve">Verify channelId format validation rejects invalid characters.</t>
  </si>
  <si>
    <t xml:space="preserve">Invalid channelId values are rejected with a descriptive error.</t>
  </si>
  <si>
    <t xml:space="preserve">TC-027</t>
  </si>
  <si>
    <t xml:space="preserve">Verify mandatory field enforcement across all create/update endpoints.</t>
  </si>
  <si>
    <t xml:space="preserve">Requests missing required fields are consistently rejected.</t>
  </si>
  <si>
    <t xml:space="preserve">TC-028</t>
  </si>
  <si>
    <t xml:space="preserve">Verify maximum length limits on configuration name and labels.</t>
  </si>
  <si>
    <t xml:space="preserve">Values exceeding the limit are rejected or truncated per spec.</t>
  </si>
  <si>
    <t xml:space="preserve">TC-029</t>
  </si>
  <si>
    <t xml:space="preserve">Verify special/Unicode characters in labels are handled correctly.</t>
  </si>
  <si>
    <t xml:space="preserve">Characters are stored and returned without corruption.</t>
  </si>
  <si>
    <t xml:space="preserve">TC-030</t>
  </si>
  <si>
    <t xml:space="preserve">Verify an empty layout payload is rejected.</t>
  </si>
  <si>
    <t xml:space="preserve">API returns a validation error; empty layouts are not persisted.</t>
  </si>
  <si>
    <t xml:space="preserve">TC-031</t>
  </si>
  <si>
    <t xml:space="preserve">Authentication &amp; Authorization</t>
  </si>
  <si>
    <t xml:space="preserve">Verify an unauthenticated request is rejected.</t>
  </si>
  <si>
    <t xml:space="preserve">API returns 401 Unauthorized.</t>
  </si>
  <si>
    <t xml:space="preserve">TC-032</t>
  </si>
  <si>
    <t xml:space="preserve">Verify a user with an insufficient role cannot create/update/delete.</t>
  </si>
  <si>
    <t xml:space="preserve">API returns 403 Forbidden.</t>
  </si>
  <si>
    <t xml:space="preserve">TC-033</t>
  </si>
  <si>
    <t xml:space="preserve">Verify an Admin role can perform all CRUD operations.</t>
  </si>
  <si>
    <t xml:space="preserve">All operations succeed for the Admin role.</t>
  </si>
  <si>
    <t xml:space="preserve">TC-034</t>
  </si>
  <si>
    <t xml:space="preserve">Verify a Viewer role has read-only access.</t>
  </si>
  <si>
    <t xml:space="preserve">Read succeeds; create/update/delete return 403.</t>
  </si>
  <si>
    <t xml:space="preserve">TC-035</t>
  </si>
  <si>
    <t xml:space="preserve">Verify an expired token is rejected on protected endpoints.</t>
  </si>
  <si>
    <t xml:space="preserve">API returns 401 with a token-expired message.</t>
  </si>
  <si>
    <t xml:space="preserve">TC-036</t>
  </si>
  <si>
    <t xml:space="preserve">Error Handling</t>
  </si>
  <si>
    <t xml:space="preserve">Verify malformed JSON returns a graceful 400 response.</t>
  </si>
  <si>
    <t xml:space="preserve">API returns 400 Bad Request with a clear error body.</t>
  </si>
  <si>
    <t xml:space="preserve">TC-037</t>
  </si>
  <si>
    <t xml:space="preserve">Verify a server-side error is surfaced without leaking internals.</t>
  </si>
  <si>
    <t xml:space="preserve">A generic 500 message is returned; no stack trace is exposed.</t>
  </si>
  <si>
    <t xml:space="preserve">TC-038</t>
  </si>
  <si>
    <t xml:space="preserve">Verify request timeouts are handled gracefully by the portal UI.</t>
  </si>
  <si>
    <t xml:space="preserve">UI shows a retry/error state instead of hanging.</t>
  </si>
  <si>
    <t xml:space="preserve">TC-039</t>
  </si>
  <si>
    <t xml:space="preserve">Layout &amp; Rendering</t>
  </si>
  <si>
    <t xml:space="preserve">Verify the saved configuration renders the form with the correct layout.</t>
  </si>
  <si>
    <t xml:space="preserve">Rendered form matches the configured layout exactly.</t>
  </si>
  <si>
    <t xml:space="preserve">TC-040</t>
  </si>
  <si>
    <t xml:space="preserve">Verify role-based field visibility on the rendered form.</t>
  </si>
  <si>
    <t xml:space="preserve">Fields appear/hide correctly according to the user's role.</t>
  </si>
  <si>
    <t xml:space="preserve">TC-041</t>
  </si>
  <si>
    <t xml:space="preserve">Verify the language toggle updates all form labels.</t>
  </si>
  <si>
    <t xml:space="preserve">All labels switch to the selected language instantly.</t>
  </si>
  <si>
    <t xml:space="preserve">TC-042</t>
  </si>
  <si>
    <t xml:space="preserve">Verify the configured logo displays in the portal header.</t>
  </si>
  <si>
    <t xml:space="preserve">Correct logo is shown in the header at the expected size.</t>
  </si>
  <si>
    <t xml:space="preserve">TC-043</t>
  </si>
  <si>
    <t xml:space="preserve">Localization</t>
  </si>
  <si>
    <t xml:space="preserve">Verify English labels render correctly across the configuration.</t>
  </si>
  <si>
    <t xml:space="preserve">All English labels display without truncation or missing keys.</t>
  </si>
  <si>
    <t xml:space="preserve">TC-044</t>
  </si>
  <si>
    <t xml:space="preserve">Verify Hindi labels render correctly across the configuration.</t>
  </si>
  <si>
    <t xml:space="preserve">All Hindi labels display correctly with proper script rendering.</t>
  </si>
  <si>
    <t xml:space="preserve">TC-045</t>
  </si>
  <si>
    <t xml:space="preserve">Verify fallback to the default language when a translation is missing.</t>
  </si>
  <si>
    <t xml:space="preserve">Missing keys fall back to the default language gracefully.</t>
  </si>
  <si>
    <t xml:space="preserve">TC-046</t>
  </si>
  <si>
    <t xml:space="preserve">Search &amp; Filter</t>
  </si>
  <si>
    <t xml:space="preserve">Verify searching configurations by channelId returns exact matches.</t>
  </si>
  <si>
    <t xml:space="preserve">Matching configuration(s) are returned; no false positives.</t>
  </si>
  <si>
    <t xml:space="preserve">TC-047</t>
  </si>
  <si>
    <t xml:space="preserve">Verify filtering the configuration list by role and language together.</t>
  </si>
  <si>
    <t xml:space="preserve">Only configurations matching both filters are shown.</t>
  </si>
  <si>
    <t xml:space="preserve">TC-048</t>
  </si>
  <si>
    <t xml:space="preserve">Verify sorting the configuration list by created date.</t>
  </si>
  <si>
    <t xml:space="preserve">List is ordered correctly ascending and descending.</t>
  </si>
  <si>
    <t xml:space="preserve">TC-049</t>
  </si>
  <si>
    <t xml:space="preserve">Audit &amp; Versioning</t>
  </si>
  <si>
    <t xml:space="preserve">Verify creating a configuration writes an audit log entry.</t>
  </si>
  <si>
    <t xml:space="preserve">An audit entry with user, action, and timestamp is recorded.</t>
  </si>
  <si>
    <t xml:space="preserve">TC-050</t>
  </si>
  <si>
    <t xml:space="preserve">Verify updating a configuration increments its version number.</t>
  </si>
  <si>
    <t xml:space="preserve">Version increments and the prior version is retained in history.</t>
  </si>
  <si>
    <t xml:space="preserve">TC-051</t>
  </si>
  <si>
    <t xml:space="preserve">Verify configuration change history can be viewed in the portal.</t>
  </si>
  <si>
    <t xml:space="preserve">History shows each change with author and timestamp.</t>
  </si>
  <si>
    <t xml:space="preserve">TC-052</t>
  </si>
  <si>
    <t xml:space="preserve">Compatibility</t>
  </si>
  <si>
    <t xml:space="preserve">Verify the portal loads and functions correctly on Chrome.</t>
  </si>
  <si>
    <t xml:space="preserve">All features work as expected on the latest Chrome.</t>
  </si>
  <si>
    <t xml:space="preserve">TC-053</t>
  </si>
  <si>
    <t xml:space="preserve">Verify the portal loads and functions correctly on Microsoft Edge.</t>
  </si>
  <si>
    <t xml:space="preserve">All features work as expected on the latest Edge.</t>
  </si>
  <si>
    <t xml:space="preserve">TC-054</t>
  </si>
  <si>
    <t xml:space="preserve">Verify the portal loads and functions correctly on Firefox.</t>
  </si>
  <si>
    <t xml:space="preserve">All features work as expected on the latest Firefox.</t>
  </si>
  <si>
    <t xml:space="preserve">TC-055</t>
  </si>
  <si>
    <t xml:space="preserve">Verify the portal loads and functions correctly on Safari (macOS).</t>
  </si>
  <si>
    <t xml:space="preserve">All features work as expected on the latest Safari.</t>
  </si>
  <si>
    <t xml:space="preserve">TC-056</t>
  </si>
  <si>
    <t xml:space="preserve">Verify the portal layout is responsive across desktop resolutions.</t>
  </si>
  <si>
    <t xml:space="preserve">Layout adapts correctly without overlap or clipping.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</si>
</sst>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3A5F"/>
      <name val="Arial"/>
      <family val="0"/>
      <charset val="1"/>
    </font>
    <font>
      <b val="true"/>
      <sz val="10"/>
      <color rgb="FF2A9D8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1E7A4D"/>
      <name val="Arial"/>
      <family val="0"/>
      <charset val="1"/>
    </font>
    <font>
      <b val="true"/>
      <sz val="9"/>
      <color rgb="FF8A6D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2A9D8F"/>
        <bgColor rgb="FF008080"/>
      </patternFill>
    </fill>
    <fill>
      <patternFill patternType="solid">
        <fgColor rgb="FFE4F3EC"/>
        <bgColor rgb="FFFFF4D6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1E7A4D"/>
      <rgbColor rgb="FFC0C0C0"/>
      <rgbColor rgb="FF808080"/>
      <rgbColor rgb="FF9999FF"/>
      <rgbColor rgb="FF993366"/>
      <rgbColor rgb="FFFFF4D6"/>
      <rgbColor rgb="FFE4F3EC"/>
      <rgbColor rgb="FF660066"/>
      <rgbColor rgb="FFFF8080"/>
      <rgbColor rgb="FF0066CC"/>
      <rgbColor rgb="FFD5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2A9D8F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3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 t="s">
        <v>4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4" t="s">
        <v>5</v>
      </c>
      <c r="B7" s="4"/>
      <c r="C7" s="4"/>
      <c r="D7" s="4"/>
      <c r="E7" s="4"/>
      <c r="F7" s="4"/>
    </row>
    <row r="9" customFormat="false" ht="24" hidden="false" customHeight="true" outlineLevel="0" collapsed="false">
      <c r="A9" s="3" t="s">
        <v>6</v>
      </c>
      <c r="B9" s="3"/>
      <c r="C9" s="3"/>
      <c r="D9" s="3"/>
      <c r="E9" s="3"/>
      <c r="F9" s="3"/>
    </row>
    <row r="10" customFormat="false" ht="15" hidden="false" customHeight="true" outlineLevel="0" collapsed="false">
      <c r="A10" s="5" t="s">
        <v>7</v>
      </c>
      <c r="B10" s="6" t="s">
        <v>8</v>
      </c>
      <c r="C10" s="6"/>
      <c r="D10" s="6"/>
      <c r="E10" s="6"/>
      <c r="F10" s="6"/>
    </row>
    <row r="11" customFormat="false" ht="15" hidden="false" customHeight="true" outlineLevel="0" collapsed="false">
      <c r="A11" s="5" t="s">
        <v>9</v>
      </c>
      <c r="B11" s="6" t="s">
        <v>10</v>
      </c>
      <c r="C11" s="6"/>
      <c r="D11" s="6"/>
      <c r="E11" s="6"/>
      <c r="F11" s="6"/>
    </row>
    <row r="12" customFormat="false" ht="15" hidden="false" customHeight="true" outlineLevel="0" collapsed="false">
      <c r="A12" s="5" t="s">
        <v>11</v>
      </c>
      <c r="B12" s="6" t="s">
        <v>12</v>
      </c>
      <c r="C12" s="6"/>
      <c r="D12" s="6"/>
      <c r="E12" s="6"/>
      <c r="F12" s="6"/>
    </row>
    <row r="13" customFormat="false" ht="15" hidden="false" customHeight="true" outlineLevel="0" collapsed="false">
      <c r="A13" s="5" t="s">
        <v>13</v>
      </c>
      <c r="B13" s="6" t="s">
        <v>14</v>
      </c>
      <c r="C13" s="6"/>
      <c r="D13" s="6"/>
      <c r="E13" s="6"/>
      <c r="F13" s="6"/>
    </row>
    <row r="14" customFormat="false" ht="15" hidden="false" customHeight="true" outlineLevel="0" collapsed="false">
      <c r="A14" s="5" t="s">
        <v>15</v>
      </c>
      <c r="B14" s="6" t="s">
        <v>16</v>
      </c>
      <c r="C14" s="6"/>
      <c r="D14" s="6"/>
      <c r="E14" s="6"/>
      <c r="F14" s="6"/>
    </row>
    <row r="15" customFormat="false" ht="15" hidden="false" customHeight="true" outlineLevel="0" collapsed="false">
      <c r="A15" s="5" t="s">
        <v>17</v>
      </c>
      <c r="B15" s="6" t="s">
        <v>18</v>
      </c>
      <c r="C15" s="6"/>
      <c r="D15" s="6"/>
      <c r="E15" s="6"/>
      <c r="F15" s="6"/>
    </row>
    <row r="16" customFormat="false" ht="15" hidden="false" customHeight="true" outlineLevel="0" collapsed="false">
      <c r="A16" s="5" t="s">
        <v>19</v>
      </c>
      <c r="B16" s="6" t="s">
        <v>20</v>
      </c>
      <c r="C16" s="6"/>
      <c r="D16" s="6"/>
      <c r="E16" s="6"/>
      <c r="F16" s="6"/>
    </row>
    <row r="18" customFormat="false" ht="24" hidden="false" customHeight="true" outlineLevel="0" collapsed="false">
      <c r="A18" s="3" t="s">
        <v>21</v>
      </c>
      <c r="B18" s="3"/>
      <c r="C18" s="3"/>
      <c r="D18" s="3"/>
      <c r="E18" s="3"/>
      <c r="F18" s="3"/>
    </row>
    <row r="19" customFormat="false" ht="15" hidden="false" customHeight="false" outlineLevel="0" collapsed="false">
      <c r="A19" s="5" t="s">
        <v>22</v>
      </c>
      <c r="B19" s="7" t="n">
        <f aca="false">COUNTA('Test Cases'!A5:A1000)</f>
        <v>56</v>
      </c>
    </row>
    <row r="20" customFormat="false" ht="15" hidden="false" customHeight="false" outlineLevel="0" collapsed="false">
      <c r="A20" s="5" t="s">
        <v>23</v>
      </c>
      <c r="B20" s="7" t="n">
        <f aca="false">COUNTIF('Test Cases'!E5:E1000,"Passed")</f>
        <v>54</v>
      </c>
    </row>
    <row r="21" customFormat="false" ht="15" hidden="false" customHeight="false" outlineLevel="0" collapsed="false">
      <c r="A21" s="5" t="s">
        <v>24</v>
      </c>
      <c r="B21" s="7" t="n">
        <f aca="false">COUNTIF('Test Cases'!E5:E1000,"Failed")</f>
        <v>0</v>
      </c>
    </row>
    <row r="22" customFormat="false" ht="15" hidden="false" customHeight="false" outlineLevel="0" collapsed="false">
      <c r="A22" s="5" t="s">
        <v>25</v>
      </c>
      <c r="B22" s="7" t="n">
        <f aca="false">COUNTIF('Test Cases'!E5:E1000,"Blocked")</f>
        <v>2</v>
      </c>
    </row>
    <row r="24" customFormat="false" ht="24" hidden="false" customHeight="true" outlineLevel="0" collapsed="false">
      <c r="A24" s="3" t="s">
        <v>26</v>
      </c>
      <c r="B24" s="3"/>
      <c r="C24" s="3"/>
      <c r="D24" s="3"/>
      <c r="E24" s="3"/>
      <c r="F24" s="3"/>
    </row>
    <row r="25" customFormat="false" ht="15" hidden="false" customHeight="false" outlineLevel="0" collapsed="false">
      <c r="A25" s="8" t="s">
        <v>27</v>
      </c>
      <c r="B25" s="8" t="s">
        <v>28</v>
      </c>
      <c r="C25" s="8" t="s">
        <v>29</v>
      </c>
      <c r="D25" s="8" t="s">
        <v>30</v>
      </c>
      <c r="E25" s="8" t="s">
        <v>31</v>
      </c>
      <c r="F25" s="8" t="s">
        <v>32</v>
      </c>
    </row>
    <row r="26" customFormat="false" ht="15" hidden="false" customHeight="false" outlineLevel="0" collapsed="false">
      <c r="A26" s="9" t="s">
        <v>33</v>
      </c>
      <c r="B26" s="10" t="n">
        <v>0</v>
      </c>
      <c r="C26" s="10" t="n">
        <v>0</v>
      </c>
      <c r="D26" s="10" t="n">
        <v>0</v>
      </c>
      <c r="E26" s="10" t="n">
        <v>0</v>
      </c>
      <c r="F26" s="11" t="n">
        <f aca="false">SUM(B26:E26)</f>
        <v>0</v>
      </c>
    </row>
    <row r="27" customFormat="false" ht="15" hidden="false" customHeight="false" outlineLevel="0" collapsed="false">
      <c r="A27" s="9" t="s">
        <v>34</v>
      </c>
      <c r="B27" s="10" t="n">
        <v>0</v>
      </c>
      <c r="C27" s="10" t="n">
        <v>0</v>
      </c>
      <c r="D27" s="10" t="n">
        <v>0</v>
      </c>
      <c r="E27" s="10" t="n">
        <v>0</v>
      </c>
      <c r="F27" s="11" t="n">
        <f aca="false">SUM(B27:E27)</f>
        <v>0</v>
      </c>
    </row>
    <row r="28" customFormat="false" ht="15" hidden="false" customHeight="false" outlineLevel="0" collapsed="false">
      <c r="A28" s="12" t="s">
        <v>32</v>
      </c>
      <c r="B28" s="10" t="n">
        <v>0</v>
      </c>
      <c r="C28" s="10" t="n">
        <v>0</v>
      </c>
      <c r="D28" s="10" t="n">
        <v>0</v>
      </c>
      <c r="E28" s="10" t="n">
        <v>0</v>
      </c>
      <c r="F28" s="11" t="n">
        <f aca="false">SUM(B28:E28)</f>
        <v>0</v>
      </c>
    </row>
    <row r="29" customFormat="false" ht="15" hidden="false" customHeight="false" outlineLevel="0" collapsed="false">
      <c r="A29" s="9" t="s">
        <v>35</v>
      </c>
      <c r="B29" s="10" t="n">
        <v>0</v>
      </c>
      <c r="C29" s="10" t="n">
        <v>0</v>
      </c>
      <c r="D29" s="10" t="n">
        <f aca="false">COUNTIF('Test Cases'!E5:E1000,"Blocked")</f>
        <v>2</v>
      </c>
      <c r="E29" s="10" t="n">
        <v>0</v>
      </c>
      <c r="F29" s="11" t="n">
        <f aca="false">SUM(B29:E29)</f>
        <v>2</v>
      </c>
    </row>
    <row r="31" customFormat="false" ht="24" hidden="false" customHeight="true" outlineLevel="0" collapsed="false">
      <c r="A31" s="3" t="s">
        <v>36</v>
      </c>
      <c r="B31" s="3"/>
      <c r="C31" s="3"/>
      <c r="D31" s="3"/>
      <c r="E31" s="3"/>
      <c r="F31" s="3"/>
    </row>
    <row r="32" customFormat="false" ht="15" hidden="false" customHeight="false" outlineLevel="0" collapsed="false">
      <c r="A32" s="8" t="s">
        <v>37</v>
      </c>
      <c r="B32" s="8" t="s">
        <v>38</v>
      </c>
    </row>
    <row r="33" customFormat="false" ht="15" hidden="false" customHeight="false" outlineLevel="0" collapsed="false">
      <c r="A33" s="13" t="s">
        <v>39</v>
      </c>
      <c r="B33" s="14" t="s">
        <v>40</v>
      </c>
    </row>
    <row r="34" customFormat="false" ht="15" hidden="false" customHeight="false" outlineLevel="0" collapsed="false">
      <c r="A34" s="13" t="s">
        <v>41</v>
      </c>
      <c r="B34" s="14" t="s">
        <v>40</v>
      </c>
    </row>
    <row r="35" customFormat="false" ht="15" hidden="false" customHeight="false" outlineLevel="0" collapsed="false">
      <c r="A35" s="13" t="s">
        <v>42</v>
      </c>
      <c r="B35" s="14" t="s">
        <v>40</v>
      </c>
    </row>
    <row r="36" customFormat="false" ht="15" hidden="false" customHeight="false" outlineLevel="0" collapsed="false">
      <c r="A36" s="13" t="s">
        <v>43</v>
      </c>
      <c r="B36" s="14" t="s">
        <v>40</v>
      </c>
    </row>
  </sheetData>
  <mergeCells count="17">
    <mergeCell ref="A1:F1"/>
    <mergeCell ref="A2:F2"/>
    <mergeCell ref="A4:F4"/>
    <mergeCell ref="A5:F5"/>
    <mergeCell ref="A6:F6"/>
    <mergeCell ref="A7:F7"/>
    <mergeCell ref="A9:F9"/>
    <mergeCell ref="B10:F10"/>
    <mergeCell ref="B11:F11"/>
    <mergeCell ref="B12:F12"/>
    <mergeCell ref="B13:F13"/>
    <mergeCell ref="B14:F14"/>
    <mergeCell ref="B15:F15"/>
    <mergeCell ref="B16:F16"/>
    <mergeCell ref="A18:F18"/>
    <mergeCell ref="A24:F24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5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5" t="s">
        <v>44</v>
      </c>
      <c r="B1" s="15"/>
      <c r="C1" s="15"/>
      <c r="D1" s="15"/>
      <c r="E1" s="15"/>
    </row>
    <row r="2" customFormat="false" ht="15.75" hidden="false" customHeight="true" outlineLevel="0" collapsed="false">
      <c r="A2" s="16" t="s">
        <v>45</v>
      </c>
      <c r="B2" s="16"/>
      <c r="C2" s="16"/>
      <c r="D2" s="16"/>
      <c r="E2" s="16"/>
    </row>
    <row r="4" customFormat="false" ht="25.5" hidden="false" customHeight="true" outlineLevel="0" collapsed="false">
      <c r="A4" s="17" t="s">
        <v>46</v>
      </c>
      <c r="B4" s="17" t="s">
        <v>47</v>
      </c>
      <c r="C4" s="17" t="s">
        <v>48</v>
      </c>
      <c r="D4" s="17" t="s">
        <v>49</v>
      </c>
      <c r="E4" s="17" t="s">
        <v>50</v>
      </c>
    </row>
    <row r="5" customFormat="false" ht="22.35" hidden="false" customHeight="false" outlineLevel="0" collapsed="false">
      <c r="A5" s="18" t="s">
        <v>51</v>
      </c>
      <c r="B5" s="19" t="s">
        <v>52</v>
      </c>
      <c r="C5" s="19" t="s">
        <v>53</v>
      </c>
      <c r="D5" s="19" t="s">
        <v>54</v>
      </c>
      <c r="E5" s="20" t="s">
        <v>55</v>
      </c>
    </row>
    <row r="6" customFormat="false" ht="22.35" hidden="false" customHeight="false" outlineLevel="0" collapsed="false">
      <c r="A6" s="18" t="s">
        <v>56</v>
      </c>
      <c r="B6" s="19" t="s">
        <v>52</v>
      </c>
      <c r="C6" s="19" t="s">
        <v>57</v>
      </c>
      <c r="D6" s="19" t="s">
        <v>58</v>
      </c>
      <c r="E6" s="20" t="s">
        <v>55</v>
      </c>
    </row>
    <row r="7" customFormat="false" ht="22.35" hidden="false" customHeight="false" outlineLevel="0" collapsed="false">
      <c r="A7" s="18" t="s">
        <v>59</v>
      </c>
      <c r="B7" s="19" t="s">
        <v>52</v>
      </c>
      <c r="C7" s="19" t="s">
        <v>60</v>
      </c>
      <c r="D7" s="19" t="s">
        <v>61</v>
      </c>
      <c r="E7" s="20" t="s">
        <v>55</v>
      </c>
    </row>
    <row r="8" customFormat="false" ht="15" hidden="false" customHeight="false" outlineLevel="0" collapsed="false">
      <c r="A8" s="18" t="s">
        <v>62</v>
      </c>
      <c r="B8" s="19" t="s">
        <v>52</v>
      </c>
      <c r="C8" s="19" t="s">
        <v>63</v>
      </c>
      <c r="D8" s="19" t="s">
        <v>64</v>
      </c>
      <c r="E8" s="20" t="s">
        <v>55</v>
      </c>
    </row>
    <row r="9" customFormat="false" ht="22.35" hidden="false" customHeight="false" outlineLevel="0" collapsed="false">
      <c r="A9" s="18" t="s">
        <v>65</v>
      </c>
      <c r="B9" s="19" t="s">
        <v>52</v>
      </c>
      <c r="C9" s="19" t="s">
        <v>66</v>
      </c>
      <c r="D9" s="19" t="s">
        <v>67</v>
      </c>
      <c r="E9" s="20" t="s">
        <v>55</v>
      </c>
    </row>
    <row r="10" customFormat="false" ht="22.35" hidden="false" customHeight="false" outlineLevel="0" collapsed="false">
      <c r="A10" s="18" t="s">
        <v>68</v>
      </c>
      <c r="B10" s="19" t="s">
        <v>52</v>
      </c>
      <c r="C10" s="19" t="s">
        <v>69</v>
      </c>
      <c r="D10" s="19" t="s">
        <v>70</v>
      </c>
      <c r="E10" s="20" t="s">
        <v>55</v>
      </c>
    </row>
    <row r="11" customFormat="false" ht="22.35" hidden="false" customHeight="false" outlineLevel="0" collapsed="false">
      <c r="A11" s="18" t="s">
        <v>71</v>
      </c>
      <c r="B11" s="19" t="s">
        <v>52</v>
      </c>
      <c r="C11" s="19" t="s">
        <v>72</v>
      </c>
      <c r="D11" s="19" t="s">
        <v>73</v>
      </c>
      <c r="E11" s="20" t="s">
        <v>55</v>
      </c>
    </row>
    <row r="12" customFormat="false" ht="15" hidden="false" customHeight="false" outlineLevel="0" collapsed="false">
      <c r="A12" s="18" t="s">
        <v>74</v>
      </c>
      <c r="B12" s="19" t="s">
        <v>52</v>
      </c>
      <c r="C12" s="19" t="s">
        <v>75</v>
      </c>
      <c r="D12" s="19" t="s">
        <v>76</v>
      </c>
      <c r="E12" s="20" t="s">
        <v>55</v>
      </c>
    </row>
    <row r="13" customFormat="false" ht="22.35" hidden="false" customHeight="false" outlineLevel="0" collapsed="false">
      <c r="A13" s="18" t="s">
        <v>77</v>
      </c>
      <c r="B13" s="19" t="s">
        <v>78</v>
      </c>
      <c r="C13" s="19" t="s">
        <v>79</v>
      </c>
      <c r="D13" s="19" t="s">
        <v>80</v>
      </c>
      <c r="E13" s="20" t="s">
        <v>55</v>
      </c>
    </row>
    <row r="14" customFormat="false" ht="15" hidden="false" customHeight="false" outlineLevel="0" collapsed="false">
      <c r="A14" s="18" t="s">
        <v>81</v>
      </c>
      <c r="B14" s="19" t="s">
        <v>78</v>
      </c>
      <c r="C14" s="19" t="s">
        <v>82</v>
      </c>
      <c r="D14" s="19" t="s">
        <v>83</v>
      </c>
      <c r="E14" s="20" t="s">
        <v>55</v>
      </c>
    </row>
    <row r="15" customFormat="false" ht="15" hidden="false" customHeight="false" outlineLevel="0" collapsed="false">
      <c r="A15" s="18" t="s">
        <v>84</v>
      </c>
      <c r="B15" s="19" t="s">
        <v>78</v>
      </c>
      <c r="C15" s="19" t="s">
        <v>85</v>
      </c>
      <c r="D15" s="19" t="s">
        <v>86</v>
      </c>
      <c r="E15" s="20" t="s">
        <v>55</v>
      </c>
    </row>
    <row r="16" customFormat="false" ht="15" hidden="false" customHeight="false" outlineLevel="0" collapsed="false">
      <c r="A16" s="18" t="s">
        <v>87</v>
      </c>
      <c r="B16" s="19" t="s">
        <v>78</v>
      </c>
      <c r="C16" s="19" t="s">
        <v>88</v>
      </c>
      <c r="D16" s="19" t="s">
        <v>89</v>
      </c>
      <c r="E16" s="20" t="s">
        <v>55</v>
      </c>
    </row>
    <row r="17" customFormat="false" ht="15" hidden="false" customHeight="false" outlineLevel="0" collapsed="false">
      <c r="A17" s="18" t="s">
        <v>90</v>
      </c>
      <c r="B17" s="19" t="s">
        <v>78</v>
      </c>
      <c r="C17" s="19" t="s">
        <v>91</v>
      </c>
      <c r="D17" s="19" t="s">
        <v>92</v>
      </c>
      <c r="E17" s="20" t="s">
        <v>55</v>
      </c>
    </row>
    <row r="18" customFormat="false" ht="15" hidden="false" customHeight="false" outlineLevel="0" collapsed="false">
      <c r="A18" s="18" t="s">
        <v>93</v>
      </c>
      <c r="B18" s="19" t="s">
        <v>78</v>
      </c>
      <c r="C18" s="19" t="s">
        <v>94</v>
      </c>
      <c r="D18" s="19" t="s">
        <v>95</v>
      </c>
      <c r="E18" s="20" t="s">
        <v>55</v>
      </c>
    </row>
    <row r="19" customFormat="false" ht="22.35" hidden="false" customHeight="false" outlineLevel="0" collapsed="false">
      <c r="A19" s="18" t="s">
        <v>96</v>
      </c>
      <c r="B19" s="19" t="s">
        <v>97</v>
      </c>
      <c r="C19" s="19" t="s">
        <v>98</v>
      </c>
      <c r="D19" s="19" t="s">
        <v>99</v>
      </c>
      <c r="E19" s="20" t="s">
        <v>55</v>
      </c>
    </row>
    <row r="20" customFormat="false" ht="15" hidden="false" customHeight="false" outlineLevel="0" collapsed="false">
      <c r="A20" s="18" t="s">
        <v>100</v>
      </c>
      <c r="B20" s="19" t="s">
        <v>97</v>
      </c>
      <c r="C20" s="19" t="s">
        <v>101</v>
      </c>
      <c r="D20" s="19" t="s">
        <v>102</v>
      </c>
      <c r="E20" s="20" t="s">
        <v>55</v>
      </c>
    </row>
    <row r="21" customFormat="false" ht="22.35" hidden="false" customHeight="false" outlineLevel="0" collapsed="false">
      <c r="A21" s="18" t="s">
        <v>103</v>
      </c>
      <c r="B21" s="19" t="s">
        <v>97</v>
      </c>
      <c r="C21" s="19" t="s">
        <v>104</v>
      </c>
      <c r="D21" s="19" t="s">
        <v>105</v>
      </c>
      <c r="E21" s="20" t="s">
        <v>55</v>
      </c>
    </row>
    <row r="22" customFormat="false" ht="22.35" hidden="false" customHeight="false" outlineLevel="0" collapsed="false">
      <c r="A22" s="18" t="s">
        <v>106</v>
      </c>
      <c r="B22" s="19" t="s">
        <v>97</v>
      </c>
      <c r="C22" s="19" t="s">
        <v>107</v>
      </c>
      <c r="D22" s="19" t="s">
        <v>108</v>
      </c>
      <c r="E22" s="20" t="s">
        <v>55</v>
      </c>
    </row>
    <row r="23" customFormat="false" ht="15" hidden="false" customHeight="false" outlineLevel="0" collapsed="false">
      <c r="A23" s="18" t="s">
        <v>109</v>
      </c>
      <c r="B23" s="19" t="s">
        <v>97</v>
      </c>
      <c r="C23" s="19" t="s">
        <v>110</v>
      </c>
      <c r="D23" s="19" t="s">
        <v>111</v>
      </c>
      <c r="E23" s="20" t="s">
        <v>55</v>
      </c>
    </row>
    <row r="24" customFormat="false" ht="15" hidden="false" customHeight="false" outlineLevel="0" collapsed="false">
      <c r="A24" s="18" t="s">
        <v>112</v>
      </c>
      <c r="B24" s="19" t="s">
        <v>97</v>
      </c>
      <c r="C24" s="19" t="s">
        <v>113</v>
      </c>
      <c r="D24" s="19" t="s">
        <v>114</v>
      </c>
      <c r="E24" s="20" t="s">
        <v>55</v>
      </c>
    </row>
    <row r="25" customFormat="false" ht="15" hidden="false" customHeight="false" outlineLevel="0" collapsed="false">
      <c r="A25" s="18" t="s">
        <v>115</v>
      </c>
      <c r="B25" s="19" t="s">
        <v>97</v>
      </c>
      <c r="C25" s="19" t="s">
        <v>116</v>
      </c>
      <c r="D25" s="19" t="s">
        <v>117</v>
      </c>
      <c r="E25" s="21" t="s">
        <v>35</v>
      </c>
    </row>
    <row r="26" customFormat="false" ht="15" hidden="false" customHeight="false" outlineLevel="0" collapsed="false">
      <c r="A26" s="18" t="s">
        <v>118</v>
      </c>
      <c r="B26" s="19" t="s">
        <v>119</v>
      </c>
      <c r="C26" s="19" t="s">
        <v>120</v>
      </c>
      <c r="D26" s="19" t="s">
        <v>121</v>
      </c>
      <c r="E26" s="20" t="s">
        <v>55</v>
      </c>
    </row>
    <row r="27" customFormat="false" ht="15" hidden="false" customHeight="false" outlineLevel="0" collapsed="false">
      <c r="A27" s="18" t="s">
        <v>122</v>
      </c>
      <c r="B27" s="19" t="s">
        <v>119</v>
      </c>
      <c r="C27" s="19" t="s">
        <v>123</v>
      </c>
      <c r="D27" s="19" t="s">
        <v>124</v>
      </c>
      <c r="E27" s="20" t="s">
        <v>55</v>
      </c>
    </row>
    <row r="28" customFormat="false" ht="22.35" hidden="false" customHeight="false" outlineLevel="0" collapsed="false">
      <c r="A28" s="18" t="s">
        <v>125</v>
      </c>
      <c r="B28" s="19" t="s">
        <v>119</v>
      </c>
      <c r="C28" s="19" t="s">
        <v>126</v>
      </c>
      <c r="D28" s="19" t="s">
        <v>127</v>
      </c>
      <c r="E28" s="20" t="s">
        <v>55</v>
      </c>
    </row>
    <row r="29" customFormat="false" ht="15" hidden="false" customHeight="false" outlineLevel="0" collapsed="false">
      <c r="A29" s="18" t="s">
        <v>128</v>
      </c>
      <c r="B29" s="19" t="s">
        <v>119</v>
      </c>
      <c r="C29" s="19" t="s">
        <v>129</v>
      </c>
      <c r="D29" s="19" t="s">
        <v>130</v>
      </c>
      <c r="E29" s="21" t="s">
        <v>35</v>
      </c>
    </row>
    <row r="30" customFormat="false" ht="15" hidden="false" customHeight="false" outlineLevel="0" collapsed="false">
      <c r="A30" s="18" t="s">
        <v>131</v>
      </c>
      <c r="B30" s="19" t="s">
        <v>132</v>
      </c>
      <c r="C30" s="19" t="s">
        <v>133</v>
      </c>
      <c r="D30" s="19" t="s">
        <v>134</v>
      </c>
      <c r="E30" s="20" t="s">
        <v>55</v>
      </c>
    </row>
    <row r="31" customFormat="false" ht="22.35" hidden="false" customHeight="false" outlineLevel="0" collapsed="false">
      <c r="A31" s="18" t="s">
        <v>135</v>
      </c>
      <c r="B31" s="19" t="s">
        <v>132</v>
      </c>
      <c r="C31" s="19" t="s">
        <v>136</v>
      </c>
      <c r="D31" s="19" t="s">
        <v>137</v>
      </c>
      <c r="E31" s="20" t="s">
        <v>55</v>
      </c>
    </row>
    <row r="32" customFormat="false" ht="15" hidden="false" customHeight="false" outlineLevel="0" collapsed="false">
      <c r="A32" s="18" t="s">
        <v>138</v>
      </c>
      <c r="B32" s="19" t="s">
        <v>132</v>
      </c>
      <c r="C32" s="19" t="s">
        <v>139</v>
      </c>
      <c r="D32" s="19" t="s">
        <v>140</v>
      </c>
      <c r="E32" s="20" t="s">
        <v>55</v>
      </c>
    </row>
    <row r="33" customFormat="false" ht="15" hidden="false" customHeight="false" outlineLevel="0" collapsed="false">
      <c r="A33" s="18" t="s">
        <v>141</v>
      </c>
      <c r="B33" s="19" t="s">
        <v>132</v>
      </c>
      <c r="C33" s="19" t="s">
        <v>142</v>
      </c>
      <c r="D33" s="19" t="s">
        <v>143</v>
      </c>
      <c r="E33" s="20" t="s">
        <v>55</v>
      </c>
    </row>
    <row r="34" customFormat="false" ht="15" hidden="false" customHeight="false" outlineLevel="0" collapsed="false">
      <c r="A34" s="18" t="s">
        <v>144</v>
      </c>
      <c r="B34" s="19" t="s">
        <v>132</v>
      </c>
      <c r="C34" s="19" t="s">
        <v>145</v>
      </c>
      <c r="D34" s="19" t="s">
        <v>146</v>
      </c>
      <c r="E34" s="20" t="s">
        <v>55</v>
      </c>
    </row>
    <row r="35" customFormat="false" ht="15" hidden="false" customHeight="false" outlineLevel="0" collapsed="false">
      <c r="A35" s="18" t="s">
        <v>147</v>
      </c>
      <c r="B35" s="19" t="s">
        <v>148</v>
      </c>
      <c r="C35" s="19" t="s">
        <v>149</v>
      </c>
      <c r="D35" s="19" t="s">
        <v>150</v>
      </c>
      <c r="E35" s="20" t="s">
        <v>55</v>
      </c>
    </row>
    <row r="36" customFormat="false" ht="15" hidden="false" customHeight="false" outlineLevel="0" collapsed="false">
      <c r="A36" s="18" t="s">
        <v>151</v>
      </c>
      <c r="B36" s="19" t="s">
        <v>148</v>
      </c>
      <c r="C36" s="19" t="s">
        <v>152</v>
      </c>
      <c r="D36" s="19" t="s">
        <v>153</v>
      </c>
      <c r="E36" s="20" t="s">
        <v>55</v>
      </c>
    </row>
    <row r="37" customFormat="false" ht="15" hidden="false" customHeight="false" outlineLevel="0" collapsed="false">
      <c r="A37" s="18" t="s">
        <v>154</v>
      </c>
      <c r="B37" s="19" t="s">
        <v>148</v>
      </c>
      <c r="C37" s="19" t="s">
        <v>155</v>
      </c>
      <c r="D37" s="19" t="s">
        <v>156</v>
      </c>
      <c r="E37" s="20" t="s">
        <v>55</v>
      </c>
    </row>
    <row r="38" customFormat="false" ht="15" hidden="false" customHeight="false" outlineLevel="0" collapsed="false">
      <c r="A38" s="18" t="s">
        <v>157</v>
      </c>
      <c r="B38" s="19" t="s">
        <v>148</v>
      </c>
      <c r="C38" s="19" t="s">
        <v>158</v>
      </c>
      <c r="D38" s="19" t="s">
        <v>159</v>
      </c>
      <c r="E38" s="20" t="s">
        <v>55</v>
      </c>
    </row>
    <row r="39" customFormat="false" ht="15" hidden="false" customHeight="false" outlineLevel="0" collapsed="false">
      <c r="A39" s="18" t="s">
        <v>160</v>
      </c>
      <c r="B39" s="19" t="s">
        <v>148</v>
      </c>
      <c r="C39" s="19" t="s">
        <v>161</v>
      </c>
      <c r="D39" s="19" t="s">
        <v>162</v>
      </c>
      <c r="E39" s="20" t="s">
        <v>55</v>
      </c>
    </row>
    <row r="40" customFormat="false" ht="15" hidden="false" customHeight="false" outlineLevel="0" collapsed="false">
      <c r="A40" s="18" t="s">
        <v>163</v>
      </c>
      <c r="B40" s="19" t="s">
        <v>164</v>
      </c>
      <c r="C40" s="19" t="s">
        <v>165</v>
      </c>
      <c r="D40" s="19" t="s">
        <v>166</v>
      </c>
      <c r="E40" s="20" t="s">
        <v>55</v>
      </c>
    </row>
    <row r="41" customFormat="false" ht="15" hidden="false" customHeight="false" outlineLevel="0" collapsed="false">
      <c r="A41" s="18" t="s">
        <v>167</v>
      </c>
      <c r="B41" s="19" t="s">
        <v>164</v>
      </c>
      <c r="C41" s="19" t="s">
        <v>168</v>
      </c>
      <c r="D41" s="19" t="s">
        <v>169</v>
      </c>
      <c r="E41" s="20" t="s">
        <v>55</v>
      </c>
    </row>
    <row r="42" customFormat="false" ht="15" hidden="false" customHeight="false" outlineLevel="0" collapsed="false">
      <c r="A42" s="18" t="s">
        <v>170</v>
      </c>
      <c r="B42" s="19" t="s">
        <v>164</v>
      </c>
      <c r="C42" s="19" t="s">
        <v>171</v>
      </c>
      <c r="D42" s="19" t="s">
        <v>172</v>
      </c>
      <c r="E42" s="20" t="s">
        <v>55</v>
      </c>
    </row>
    <row r="43" customFormat="false" ht="22.35" hidden="false" customHeight="false" outlineLevel="0" collapsed="false">
      <c r="A43" s="18" t="s">
        <v>173</v>
      </c>
      <c r="B43" s="19" t="s">
        <v>174</v>
      </c>
      <c r="C43" s="19" t="s">
        <v>175</v>
      </c>
      <c r="D43" s="19" t="s">
        <v>176</v>
      </c>
      <c r="E43" s="20" t="s">
        <v>55</v>
      </c>
    </row>
    <row r="44" customFormat="false" ht="15" hidden="false" customHeight="false" outlineLevel="0" collapsed="false">
      <c r="A44" s="18" t="s">
        <v>177</v>
      </c>
      <c r="B44" s="19" t="s">
        <v>174</v>
      </c>
      <c r="C44" s="19" t="s">
        <v>178</v>
      </c>
      <c r="D44" s="19" t="s">
        <v>179</v>
      </c>
      <c r="E44" s="20" t="s">
        <v>55</v>
      </c>
    </row>
    <row r="45" customFormat="false" ht="15" hidden="false" customHeight="false" outlineLevel="0" collapsed="false">
      <c r="A45" s="18" t="s">
        <v>180</v>
      </c>
      <c r="B45" s="19" t="s">
        <v>174</v>
      </c>
      <c r="C45" s="19" t="s">
        <v>181</v>
      </c>
      <c r="D45" s="19" t="s">
        <v>182</v>
      </c>
      <c r="E45" s="20" t="s">
        <v>55</v>
      </c>
    </row>
    <row r="46" customFormat="false" ht="15" hidden="false" customHeight="false" outlineLevel="0" collapsed="false">
      <c r="A46" s="18" t="s">
        <v>183</v>
      </c>
      <c r="B46" s="19" t="s">
        <v>174</v>
      </c>
      <c r="C46" s="19" t="s">
        <v>184</v>
      </c>
      <c r="D46" s="19" t="s">
        <v>185</v>
      </c>
      <c r="E46" s="20" t="s">
        <v>55</v>
      </c>
    </row>
    <row r="47" customFormat="false" ht="15" hidden="false" customHeight="false" outlineLevel="0" collapsed="false">
      <c r="A47" s="18" t="s">
        <v>186</v>
      </c>
      <c r="B47" s="19" t="s">
        <v>187</v>
      </c>
      <c r="C47" s="19" t="s">
        <v>188</v>
      </c>
      <c r="D47" s="19" t="s">
        <v>189</v>
      </c>
      <c r="E47" s="20" t="s">
        <v>55</v>
      </c>
    </row>
    <row r="48" customFormat="false" ht="15" hidden="false" customHeight="false" outlineLevel="0" collapsed="false">
      <c r="A48" s="18" t="s">
        <v>190</v>
      </c>
      <c r="B48" s="19" t="s">
        <v>187</v>
      </c>
      <c r="C48" s="19" t="s">
        <v>191</v>
      </c>
      <c r="D48" s="19" t="s">
        <v>192</v>
      </c>
      <c r="E48" s="20" t="s">
        <v>55</v>
      </c>
    </row>
    <row r="49" customFormat="false" ht="22.35" hidden="false" customHeight="false" outlineLevel="0" collapsed="false">
      <c r="A49" s="18" t="s">
        <v>193</v>
      </c>
      <c r="B49" s="19" t="s">
        <v>187</v>
      </c>
      <c r="C49" s="19" t="s">
        <v>194</v>
      </c>
      <c r="D49" s="19" t="s">
        <v>195</v>
      </c>
      <c r="E49" s="20" t="s">
        <v>55</v>
      </c>
    </row>
    <row r="50" customFormat="false" ht="22.35" hidden="false" customHeight="false" outlineLevel="0" collapsed="false">
      <c r="A50" s="18" t="s">
        <v>196</v>
      </c>
      <c r="B50" s="19" t="s">
        <v>197</v>
      </c>
      <c r="C50" s="19" t="s">
        <v>198</v>
      </c>
      <c r="D50" s="19" t="s">
        <v>199</v>
      </c>
      <c r="E50" s="20" t="s">
        <v>55</v>
      </c>
    </row>
    <row r="51" customFormat="false" ht="15" hidden="false" customHeight="false" outlineLevel="0" collapsed="false">
      <c r="A51" s="18" t="s">
        <v>200</v>
      </c>
      <c r="B51" s="19" t="s">
        <v>197</v>
      </c>
      <c r="C51" s="19" t="s">
        <v>201</v>
      </c>
      <c r="D51" s="19" t="s">
        <v>202</v>
      </c>
      <c r="E51" s="20" t="s">
        <v>55</v>
      </c>
    </row>
    <row r="52" customFormat="false" ht="15" hidden="false" customHeight="false" outlineLevel="0" collapsed="false">
      <c r="A52" s="18" t="s">
        <v>203</v>
      </c>
      <c r="B52" s="19" t="s">
        <v>197</v>
      </c>
      <c r="C52" s="19" t="s">
        <v>204</v>
      </c>
      <c r="D52" s="19" t="s">
        <v>205</v>
      </c>
      <c r="E52" s="20" t="s">
        <v>55</v>
      </c>
    </row>
    <row r="53" customFormat="false" ht="15" hidden="false" customHeight="false" outlineLevel="0" collapsed="false">
      <c r="A53" s="18" t="s">
        <v>206</v>
      </c>
      <c r="B53" s="19" t="s">
        <v>207</v>
      </c>
      <c r="C53" s="19" t="s">
        <v>208</v>
      </c>
      <c r="D53" s="19" t="s">
        <v>209</v>
      </c>
      <c r="E53" s="20" t="s">
        <v>55</v>
      </c>
    </row>
    <row r="54" customFormat="false" ht="15" hidden="false" customHeight="false" outlineLevel="0" collapsed="false">
      <c r="A54" s="18" t="s">
        <v>210</v>
      </c>
      <c r="B54" s="19" t="s">
        <v>207</v>
      </c>
      <c r="C54" s="19" t="s">
        <v>211</v>
      </c>
      <c r="D54" s="19" t="s">
        <v>212</v>
      </c>
      <c r="E54" s="20" t="s">
        <v>55</v>
      </c>
    </row>
    <row r="55" customFormat="false" ht="15" hidden="false" customHeight="false" outlineLevel="0" collapsed="false">
      <c r="A55" s="18" t="s">
        <v>213</v>
      </c>
      <c r="B55" s="19" t="s">
        <v>207</v>
      </c>
      <c r="C55" s="19" t="s">
        <v>214</v>
      </c>
      <c r="D55" s="19" t="s">
        <v>215</v>
      </c>
      <c r="E55" s="20" t="s">
        <v>55</v>
      </c>
    </row>
    <row r="56" customFormat="false" ht="15" hidden="false" customHeight="false" outlineLevel="0" collapsed="false">
      <c r="A56" s="18" t="s">
        <v>216</v>
      </c>
      <c r="B56" s="19" t="s">
        <v>217</v>
      </c>
      <c r="C56" s="19" t="s">
        <v>218</v>
      </c>
      <c r="D56" s="19" t="s">
        <v>219</v>
      </c>
      <c r="E56" s="20" t="s">
        <v>55</v>
      </c>
    </row>
    <row r="57" customFormat="false" ht="15" hidden="false" customHeight="false" outlineLevel="0" collapsed="false">
      <c r="A57" s="18" t="s">
        <v>220</v>
      </c>
      <c r="B57" s="19" t="s">
        <v>217</v>
      </c>
      <c r="C57" s="19" t="s">
        <v>221</v>
      </c>
      <c r="D57" s="19" t="s">
        <v>222</v>
      </c>
      <c r="E57" s="20" t="s">
        <v>55</v>
      </c>
    </row>
    <row r="58" customFormat="false" ht="15" hidden="false" customHeight="false" outlineLevel="0" collapsed="false">
      <c r="A58" s="18" t="s">
        <v>223</v>
      </c>
      <c r="B58" s="19" t="s">
        <v>217</v>
      </c>
      <c r="C58" s="19" t="s">
        <v>224</v>
      </c>
      <c r="D58" s="19" t="s">
        <v>225</v>
      </c>
      <c r="E58" s="20" t="s">
        <v>55</v>
      </c>
    </row>
    <row r="59" customFormat="false" ht="15" hidden="false" customHeight="false" outlineLevel="0" collapsed="false">
      <c r="A59" s="18" t="s">
        <v>226</v>
      </c>
      <c r="B59" s="19" t="s">
        <v>217</v>
      </c>
      <c r="C59" s="19" t="s">
        <v>227</v>
      </c>
      <c r="D59" s="19" t="s">
        <v>228</v>
      </c>
      <c r="E59" s="20" t="s">
        <v>55</v>
      </c>
    </row>
    <row r="60" customFormat="false" ht="15" hidden="false" customHeight="false" outlineLevel="0" collapsed="false">
      <c r="A60" s="18" t="s">
        <v>229</v>
      </c>
      <c r="B60" s="19" t="s">
        <v>217</v>
      </c>
      <c r="C60" s="19" t="s">
        <v>230</v>
      </c>
      <c r="D60" s="19" t="s">
        <v>231</v>
      </c>
      <c r="E60" s="20" t="s">
        <v>55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2026-07-06T09:40:57Z</dcterms:created>
  <dc:creator>openpyxl</dc:creator>
  <dc:description/>
  <dc:language>en-US</dc:language>
  <cp:lastModifiedBy/>
  <dcterms:modified xsi:type="dcterms:W3CDTF">2026-07-06T09:40:57Z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